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Cost Summary" sheetId="3" state="visible" r:id="rId3"/>
    <sheet xmlns:r="http://schemas.openxmlformats.org/officeDocument/2006/relationships" name="OPEX" sheetId="4" state="visible" r:id="rId4"/>
  </sheets>
  <definedNames>
    <definedName name="_xlnm._FilterDatabase" localSheetId="1" hidden="1">'BOM'!$A$1:$Q$33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Arial"/>
      <b val="1"/>
      <color rgb="001A2B4A"/>
      <sz val="15"/>
    </font>
    <font>
      <name val="Arial"/>
      <i val="1"/>
      <color rgb="00444444"/>
      <sz val="9"/>
    </font>
    <font>
      <name val="Arial"/>
      <b val="1"/>
      <sz val="10"/>
    </font>
    <font>
      <name val="Arial"/>
      <sz val="10"/>
    </font>
    <font>
      <name val="Arial"/>
      <b val="1"/>
      <color rgb="001A2B4A"/>
      <sz val="11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EAF0F8"/>
      </patternFill>
    </fill>
    <fill>
      <patternFill patternType="solid">
        <fgColor rgb="00FFF7CC"/>
      </patternFill>
    </fill>
    <fill>
      <patternFill patternType="solid">
        <fgColor rgb="001A2B4A"/>
      </patternFill>
    </fill>
    <fill>
      <patternFill patternType="solid">
        <fgColor rgb="00D6E0EF"/>
      </patternFill>
    </fill>
  </fills>
  <borders count="3">
    <border>
      <left/>
      <right/>
      <top/>
      <bottom/>
      <diagonal/>
    </border>
    <border>
      <left style="thin">
        <color rgb="00B8C2D0"/>
      </left>
      <right style="thin">
        <color rgb="00B8C2D0"/>
      </right>
      <top style="thin">
        <color rgb="00B8C2D0"/>
      </top>
      <bottom style="thin">
        <color rgb="00B8C2D0"/>
      </bottom>
    </border>
    <border>
      <top style="medium">
        <color rgb="001A2B4A"/>
      </top>
      <bottom style="medium">
        <color rgb="001A2B4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3" fillId="3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/>
    </xf>
    <xf numFmtId="0" fontId="8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vertical="top"/>
    </xf>
    <xf numFmtId="164" fontId="8" fillId="0" borderId="1" applyAlignment="1" pivotButton="0" quotePrefix="0" xfId="0">
      <alignment vertical="top"/>
    </xf>
    <xf numFmtId="164" fontId="6" fillId="3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8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top"/>
    </xf>
    <xf numFmtId="0" fontId="3" fillId="5" borderId="0" applyAlignment="1" pivotButton="0" quotePrefix="0" xfId="0">
      <alignment horizontal="right"/>
    </xf>
    <xf numFmtId="0" fontId="0" fillId="5" borderId="0" pivotButton="0" quotePrefix="0" xfId="0"/>
    <xf numFmtId="164" fontId="3" fillId="5" borderId="2" pivotButton="0" quotePrefix="0" xfId="0"/>
    <xf numFmtId="0" fontId="7" fillId="4" borderId="1" applyAlignment="1" pivotButton="0" quotePrefix="0" xfId="0">
      <alignment horizontal="center" vertical="center"/>
    </xf>
    <xf numFmtId="0" fontId="8" fillId="0" borderId="1" pivotButton="0" quotePrefix="0" xfId="0"/>
    <xf numFmtId="164" fontId="8" fillId="0" borderId="1" pivotButton="0" quotePrefix="0" xfId="0"/>
    <xf numFmtId="0" fontId="3" fillId="5" borderId="2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>
      <c r="A1" s="1" t="inlineStr">
        <is>
          <t>UAV Harvest-Monitoring Deployment — Procurement Workbook</t>
        </is>
      </c>
    </row>
    <row r="2">
      <c r="A2" s="2" t="inlineStr">
        <is>
          <t>Bill of materials for an industrial test run of the RobustIDPS.ai / M1+M4+M6+M7 network-layer robustness models on a crop harvest-readiness UAV.</t>
        </is>
      </c>
    </row>
    <row r="4">
      <c r="A4" s="3" t="inlineStr"/>
      <c r="B4" s="4" t="inlineStr"/>
    </row>
    <row r="5">
      <c r="A5" s="5" t="inlineStr">
        <is>
          <t>HOW TO USE</t>
        </is>
      </c>
      <c r="B5" t="inlineStr"/>
    </row>
    <row r="6">
      <c r="A6" s="3" t="inlineStr">
        <is>
          <t>1</t>
        </is>
      </c>
      <c r="B6" s="4" t="inlineStr">
        <is>
          <t>Work on the 'BOM' sheet. Each row is one line item.</t>
        </is>
      </c>
    </row>
    <row r="7">
      <c r="A7" s="3" t="inlineStr">
        <is>
          <t>2</t>
        </is>
      </c>
      <c r="B7" s="4" t="inlineStr">
        <is>
          <t>Fill the YELLOW cells during procurement: Quoted Unit $, Vendor (confirmed), Lead time, Status.</t>
        </is>
      </c>
    </row>
    <row r="8">
      <c r="A8" s="3" t="inlineStr">
        <is>
          <t>3</t>
        </is>
      </c>
      <c r="B8" s="4" t="inlineStr">
        <is>
          <t>Adjust BLUE cells (Qty, Unit $ Low/High estimates) to your farm size / spec.</t>
        </is>
      </c>
    </row>
    <row r="9">
      <c r="A9" s="3" t="inlineStr">
        <is>
          <t>4</t>
        </is>
      </c>
      <c r="B9" s="4" t="inlineStr">
        <is>
          <t>BLACK cells are formulas (extended costs, totals) — do not overtype them.</t>
        </is>
      </c>
    </row>
    <row r="10">
      <c r="A10" s="6" t="inlineStr">
        <is>
          <t>5</t>
        </is>
      </c>
      <c r="B10" s="4" t="inlineStr">
        <is>
          <t>'Cost Summary' and 'OPEX' roll up automatically.</t>
        </is>
      </c>
    </row>
    <row r="11">
      <c r="A11" s="7" t="inlineStr"/>
      <c r="B11" s="4" t="inlineStr"/>
    </row>
    <row r="12">
      <c r="A12" s="5" t="inlineStr">
        <is>
          <t>LEGEND</t>
        </is>
      </c>
      <c r="B12" t="inlineStr"/>
    </row>
    <row r="13">
      <c r="A13" s="3" t="inlineStr">
        <is>
          <t>Blue text</t>
        </is>
      </c>
      <c r="B13" s="4" t="inlineStr">
        <is>
          <t>Editable input — quantity and cost estimates you can change.</t>
        </is>
      </c>
    </row>
    <row r="14">
      <c r="A14" s="3" t="inlineStr">
        <is>
          <t>Yellow fill</t>
        </is>
      </c>
      <c r="B14" s="4" t="inlineStr">
        <is>
          <t>Fill in during procurement — quoted price, vendor, lead time, status.</t>
        </is>
      </c>
    </row>
    <row r="15">
      <c r="A15" s="3" t="inlineStr">
        <is>
          <t>Black text</t>
        </is>
      </c>
      <c r="B15" s="4" t="inlineStr">
        <is>
          <t>Formula — recalculates automatically.</t>
        </is>
      </c>
    </row>
    <row r="16">
      <c r="A16" s="3" t="inlineStr"/>
      <c r="B16" s="4" t="inlineStr"/>
    </row>
    <row r="17">
      <c r="A17" s="5" t="inlineStr">
        <is>
          <t>PRIORITY</t>
        </is>
      </c>
      <c r="B17" t="inlineStr"/>
    </row>
    <row r="18">
      <c r="A18" s="3" t="inlineStr">
        <is>
          <t>Must</t>
        </is>
      </c>
      <c r="B18" s="4" t="inlineStr">
        <is>
          <t>Required for any test run.</t>
        </is>
      </c>
    </row>
    <row r="19">
      <c r="A19" s="3" t="inlineStr">
        <is>
          <t>Should</t>
        </is>
      </c>
      <c r="B19" s="4" t="inlineStr">
        <is>
          <t>Strongly recommended (assurance / EW validation).</t>
        </is>
      </c>
    </row>
    <row r="20">
      <c r="A20" s="3" t="inlineStr">
        <is>
          <t>Optional</t>
        </is>
      </c>
      <c r="B20" s="4" t="inlineStr">
        <is>
          <t>Add per crop / field size / budget (thermal, LiDAR, extra sensors).</t>
        </is>
      </c>
    </row>
    <row r="21">
      <c r="A21" s="3" t="inlineStr"/>
      <c r="B21" s="4" t="inlineStr"/>
    </row>
    <row r="22">
      <c r="A22" s="5" t="inlineStr">
        <is>
          <t>EXAMPLE ROW (format reference — real rows are on the BOM sheet)</t>
        </is>
      </c>
      <c r="B22" t="inlineStr"/>
    </row>
    <row r="23">
      <c r="A23" s="3" t="inlineStr">
        <is>
          <t>Item</t>
        </is>
      </c>
      <c r="B23" s="4" t="inlineStr">
        <is>
          <t>Onboard AI chip — Jetson Orin NX 16GB module</t>
        </is>
      </c>
    </row>
    <row r="24">
      <c r="A24" s="3" t="inlineStr">
        <is>
          <t>Qty</t>
        </is>
      </c>
      <c r="B24" s="4" t="inlineStr">
        <is>
          <t>1</t>
        </is>
      </c>
    </row>
    <row r="25">
      <c r="A25" s="3" t="inlineStr">
        <is>
          <t>Unit $ Low / High</t>
        </is>
      </c>
      <c r="B25" s="4" t="inlineStr">
        <is>
          <t>500 / 700</t>
        </is>
      </c>
    </row>
    <row r="26">
      <c r="A26" s="3" t="inlineStr">
        <is>
          <t>Quoted Unit $ (you fill)</t>
        </is>
      </c>
      <c r="B26" s="4" t="inlineStr">
        <is>
          <t>615</t>
        </is>
      </c>
    </row>
    <row r="27">
      <c r="A27" s="3" t="inlineStr">
        <is>
          <t>Status (you fill)</t>
        </is>
      </c>
      <c r="B27" s="4" t="inlineStr">
        <is>
          <t>Ordered — PO#1042, ETA 3 wks</t>
        </is>
      </c>
    </row>
    <row r="28">
      <c r="A28" s="3" t="inlineStr"/>
      <c r="B28" s="4" t="inlineStr"/>
    </row>
    <row r="29">
      <c r="A29" s="5" t="inlineStr">
        <is>
          <t>NOTE ON PRICES</t>
        </is>
      </c>
      <c r="B29" t="inlineStr">
        <is>
          <t>All costs are indicative 2026 USD planning ranges, not quotes. Confirm with vendors for your region. Cloud + GNSS simulator can be rented (see OPEX).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26" customWidth="1" min="4" max="4"/>
    <col width="30" customWidth="1" min="5" max="5"/>
    <col width="20" customWidth="1" min="6" max="6"/>
    <col width="5" customWidth="1" min="7" max="7"/>
    <col width="10" customWidth="1" min="8" max="8"/>
    <col width="10" customWidth="1" min="9" max="9"/>
    <col width="11" customWidth="1" min="10" max="10"/>
    <col width="11" customWidth="1" min="11" max="11"/>
    <col width="12" customWidth="1" min="12" max="12"/>
    <col width="12" customWidth="1" min="13" max="13"/>
    <col width="8" customWidth="1" min="14" max="14"/>
    <col width="9" customWidth="1" min="15" max="15"/>
    <col width="20" customWidth="1" min="16" max="16"/>
    <col width="34" customWidth="1" min="17" max="17"/>
  </cols>
  <sheetData>
    <row r="1">
      <c r="A1" s="8" t="inlineStr">
        <is>
          <t>#</t>
        </is>
      </c>
      <c r="B1" s="8" t="inlineStr">
        <is>
          <t>Tier / Group</t>
        </is>
      </c>
      <c r="C1" s="8" t="inlineStr">
        <is>
          <t>Subsystem</t>
        </is>
      </c>
      <c r="D1" s="8" t="inlineStr">
        <is>
          <t>Function</t>
        </is>
      </c>
      <c r="E1" s="8" t="inlineStr">
        <is>
          <t>Representative part</t>
        </is>
      </c>
      <c r="F1" s="8" t="inlineStr">
        <is>
          <t>Example vendor</t>
        </is>
      </c>
      <c r="G1" s="8" t="inlineStr">
        <is>
          <t>Qty</t>
        </is>
      </c>
      <c r="H1" s="8" t="inlineStr">
        <is>
          <t>Unit $ Low</t>
        </is>
      </c>
      <c r="I1" s="8" t="inlineStr">
        <is>
          <t>Unit $ High</t>
        </is>
      </c>
      <c r="J1" s="8" t="inlineStr">
        <is>
          <t>Ext $ Low</t>
        </is>
      </c>
      <c r="K1" s="8" t="inlineStr">
        <is>
          <t>Ext $ High</t>
        </is>
      </c>
      <c r="L1" s="8" t="inlineStr">
        <is>
          <t>Quoted Unit $</t>
        </is>
      </c>
      <c r="M1" s="8" t="inlineStr">
        <is>
          <t>Ext Quoted $</t>
        </is>
      </c>
      <c r="N1" s="8" t="inlineStr">
        <is>
          <t>Lead (wks)</t>
        </is>
      </c>
      <c r="O1" s="8" t="inlineStr">
        <is>
          <t>Priority</t>
        </is>
      </c>
      <c r="P1" s="8" t="inlineStr">
        <is>
          <t>Status</t>
        </is>
      </c>
      <c r="Q1" s="8" t="inlineStr">
        <is>
          <t>Notes</t>
        </is>
      </c>
    </row>
    <row r="2">
      <c r="A2" s="9" t="n">
        <v>1</v>
      </c>
      <c r="B2" s="9" t="inlineStr">
        <is>
          <t>UAV Platform</t>
        </is>
      </c>
      <c r="C2" s="10" t="inlineStr">
        <is>
          <t>Airframe</t>
        </is>
      </c>
      <c r="D2" s="10" t="inlineStr">
        <is>
          <t>Multirotor, &gt;=30 min, payload &gt;=1.5 kg</t>
        </is>
      </c>
      <c r="E2" s="10" t="inlineStr">
        <is>
          <t>DJI M350 RTK / Freefly Astro</t>
        </is>
      </c>
      <c r="F2" s="9" t="inlineStr">
        <is>
          <t>DJI / Freefly</t>
        </is>
      </c>
      <c r="G2" s="11" t="n">
        <v>1</v>
      </c>
      <c r="H2" s="12" t="n">
        <v>5000</v>
      </c>
      <c r="I2" s="12" t="n">
        <v>12000</v>
      </c>
      <c r="J2" s="13">
        <f>G2*H2</f>
        <v/>
      </c>
      <c r="K2" s="13">
        <f>G2*I2</f>
        <v/>
      </c>
      <c r="L2" s="14" t="n"/>
      <c r="M2" s="13">
        <f>G2*L2</f>
        <v/>
      </c>
      <c r="N2" s="15" t="n">
        <v>4</v>
      </c>
      <c r="O2" s="16" t="inlineStr">
        <is>
          <t>Must</t>
        </is>
      </c>
      <c r="P2" s="17" t="n"/>
      <c r="Q2" s="10" t="inlineStr">
        <is>
          <t>Fixed-wing/VTOL for &gt;200 ha</t>
        </is>
      </c>
    </row>
    <row r="3">
      <c r="A3" s="9" t="n">
        <v>2</v>
      </c>
      <c r="B3" s="9" t="inlineStr">
        <is>
          <t>UAV Platform</t>
        </is>
      </c>
      <c r="C3" s="10" t="inlineStr">
        <is>
          <t>Flight controller</t>
        </is>
      </c>
      <c r="D3" s="10" t="inlineStr">
        <is>
          <t>Open autopilot (PX4/ArduPilot)</t>
        </is>
      </c>
      <c r="E3" s="10" t="inlineStr">
        <is>
          <t>Holybro Pixhawk 6X / Cube Orange+</t>
        </is>
      </c>
      <c r="F3" s="9" t="inlineStr">
        <is>
          <t>Holybro / CubePilot</t>
        </is>
      </c>
      <c r="G3" s="11" t="n">
        <v>1</v>
      </c>
      <c r="H3" s="12" t="n">
        <v>250</v>
      </c>
      <c r="I3" s="12" t="n">
        <v>450</v>
      </c>
      <c r="J3" s="13">
        <f>G3*H3</f>
        <v/>
      </c>
      <c r="K3" s="13">
        <f>G3*I3</f>
        <v/>
      </c>
      <c r="L3" s="14" t="n"/>
      <c r="M3" s="13">
        <f>G3*L3</f>
        <v/>
      </c>
      <c r="N3" s="15" t="n">
        <v>3</v>
      </c>
      <c r="O3" s="16" t="inlineStr">
        <is>
          <t>Must</t>
        </is>
      </c>
      <c r="P3" s="17" t="n"/>
      <c r="Q3" s="10" t="inlineStr">
        <is>
          <t>May be integrated in airframe</t>
        </is>
      </c>
    </row>
    <row r="4">
      <c r="A4" s="9" t="n">
        <v>3</v>
      </c>
      <c r="B4" s="9" t="inlineStr">
        <is>
          <t>Onboard AI</t>
        </is>
      </c>
      <c r="C4" s="10" t="inlineStr">
        <is>
          <t>Embedded compute</t>
        </is>
      </c>
      <c r="D4" s="10" t="inlineStr">
        <is>
          <t>INT8 MambaShield + onboard NDVI</t>
        </is>
      </c>
      <c r="E4" s="10" t="inlineStr">
        <is>
          <t>Jetson Orin NX 16GB module</t>
        </is>
      </c>
      <c r="F4" s="9" t="inlineStr">
        <is>
          <t>NVIDIA / Seeed</t>
        </is>
      </c>
      <c r="G4" s="11" t="n">
        <v>1</v>
      </c>
      <c r="H4" s="12" t="n">
        <v>500</v>
      </c>
      <c r="I4" s="12" t="n">
        <v>700</v>
      </c>
      <c r="J4" s="13">
        <f>G4*H4</f>
        <v/>
      </c>
      <c r="K4" s="13">
        <f>G4*I4</f>
        <v/>
      </c>
      <c r="L4" s="14" t="n"/>
      <c r="M4" s="13">
        <f>G4*L4</f>
        <v/>
      </c>
      <c r="N4" s="15" t="n">
        <v>6</v>
      </c>
      <c r="O4" s="16" t="inlineStr">
        <is>
          <t>Must</t>
        </is>
      </c>
      <c r="P4" s="17" t="n"/>
      <c r="Q4" s="10" t="inlineStr">
        <is>
          <t>~100 TOPS INT8, 10-25 W</t>
        </is>
      </c>
    </row>
    <row r="5">
      <c r="A5" s="9" t="n">
        <v>4</v>
      </c>
      <c r="B5" s="9" t="inlineStr">
        <is>
          <t>Onboard AI</t>
        </is>
      </c>
      <c r="C5" s="10" t="inlineStr">
        <is>
          <t>Carrier board</t>
        </is>
      </c>
      <c r="D5" s="10" t="inlineStr">
        <is>
          <t>Jetson carrier for UAV</t>
        </is>
      </c>
      <c r="E5" s="10" t="inlineStr">
        <is>
          <t>ConnectTech Boson / Auvidea</t>
        </is>
      </c>
      <c r="F5" s="9" t="inlineStr">
        <is>
          <t>ConnectTech</t>
        </is>
      </c>
      <c r="G5" s="11" t="n">
        <v>1</v>
      </c>
      <c r="H5" s="12" t="n">
        <v>200</v>
      </c>
      <c r="I5" s="12" t="n">
        <v>400</v>
      </c>
      <c r="J5" s="13">
        <f>G5*H5</f>
        <v/>
      </c>
      <c r="K5" s="13">
        <f>G5*I5</f>
        <v/>
      </c>
      <c r="L5" s="14" t="n"/>
      <c r="M5" s="13">
        <f>G5*L5</f>
        <v/>
      </c>
      <c r="N5" s="15" t="n">
        <v>6</v>
      </c>
      <c r="O5" s="16" t="inlineStr">
        <is>
          <t>Must</t>
        </is>
      </c>
      <c r="P5" s="17" t="n"/>
      <c r="Q5" s="10" t="inlineStr">
        <is>
          <t>Pick low-SWaP carrier</t>
        </is>
      </c>
    </row>
    <row r="6">
      <c r="A6" s="9" t="n">
        <v>5</v>
      </c>
      <c r="B6" s="9" t="inlineStr">
        <is>
          <t>Onboard AI</t>
        </is>
      </c>
      <c r="C6" s="10" t="inlineStr">
        <is>
          <t>Security co-accel (opt.)</t>
        </is>
      </c>
      <c r="D6" s="10" t="inlineStr">
        <is>
          <t>Dedicated INT8 detector</t>
        </is>
      </c>
      <c r="E6" s="10" t="inlineStr">
        <is>
          <t>Hailo-8 M.2 / Coral TPU</t>
        </is>
      </c>
      <c r="F6" s="9" t="inlineStr">
        <is>
          <t>Hailo / Google</t>
        </is>
      </c>
      <c r="G6" s="11" t="n">
        <v>1</v>
      </c>
      <c r="H6" s="12" t="n">
        <v>200</v>
      </c>
      <c r="I6" s="12" t="n">
        <v>450</v>
      </c>
      <c r="J6" s="13">
        <f>G6*H6</f>
        <v/>
      </c>
      <c r="K6" s="13">
        <f>G6*I6</f>
        <v/>
      </c>
      <c r="L6" s="14" t="n"/>
      <c r="M6" s="13">
        <f>G6*L6</f>
        <v/>
      </c>
      <c r="N6" s="15" t="n">
        <v>6</v>
      </c>
      <c r="O6" s="16" t="inlineStr">
        <is>
          <t>Optional</t>
        </is>
      </c>
      <c r="P6" s="17" t="n"/>
      <c r="Q6" s="10" t="inlineStr">
        <is>
          <t>2-3 W offload of M4</t>
        </is>
      </c>
    </row>
    <row r="7">
      <c r="A7" s="9" t="n">
        <v>6</v>
      </c>
      <c r="B7" s="9" t="inlineStr">
        <is>
          <t>Navigation</t>
        </is>
      </c>
      <c r="C7" s="10" t="inlineStr">
        <is>
          <t>Anti-spoof GNSS</t>
        </is>
      </c>
      <c r="D7" s="10" t="inlineStr">
        <is>
          <t>RTK + spoof/jam detection</t>
        </is>
      </c>
      <c r="E7" s="10" t="inlineStr">
        <is>
          <t>Septentrio mosaic-X5 / u-blox ZED-F9P</t>
        </is>
      </c>
      <c r="F7" s="9" t="inlineStr">
        <is>
          <t>Septentrio / u-blox</t>
        </is>
      </c>
      <c r="G7" s="11" t="n">
        <v>1</v>
      </c>
      <c r="H7" s="12" t="n">
        <v>300</v>
      </c>
      <c r="I7" s="12" t="n">
        <v>3000</v>
      </c>
      <c r="J7" s="13">
        <f>G7*H7</f>
        <v/>
      </c>
      <c r="K7" s="13">
        <f>G7*I7</f>
        <v/>
      </c>
      <c r="L7" s="14" t="n"/>
      <c r="M7" s="13">
        <f>G7*L7</f>
        <v/>
      </c>
      <c r="N7" s="15" t="n">
        <v>6</v>
      </c>
      <c r="O7" s="16" t="inlineStr">
        <is>
          <t>Must</t>
        </is>
      </c>
      <c r="P7" s="17" t="n"/>
      <c r="Q7" s="10" t="inlineStr">
        <is>
          <t>Feeds C/N0+spoof flags to M4/M6</t>
        </is>
      </c>
    </row>
    <row r="8">
      <c r="A8" s="9" t="n">
        <v>7</v>
      </c>
      <c r="B8" s="9" t="inlineStr">
        <is>
          <t>Navigation</t>
        </is>
      </c>
      <c r="C8" s="10" t="inlineStr">
        <is>
          <t>GNSS antenna</t>
        </is>
      </c>
      <c r="D8" s="10" t="inlineStr">
        <is>
          <t>Multiband / anti-jam</t>
        </is>
      </c>
      <c r="E8" s="10" t="inlineStr">
        <is>
          <t>CRPA or multiband helical</t>
        </is>
      </c>
      <c r="F8" s="9" t="inlineStr">
        <is>
          <t>Tallysman / Septentrio</t>
        </is>
      </c>
      <c r="G8" s="11" t="n">
        <v>1</v>
      </c>
      <c r="H8" s="12" t="n">
        <v>200</v>
      </c>
      <c r="I8" s="12" t="n">
        <v>2500</v>
      </c>
      <c r="J8" s="13">
        <f>G8*H8</f>
        <v/>
      </c>
      <c r="K8" s="13">
        <f>G8*I8</f>
        <v/>
      </c>
      <c r="L8" s="14" t="n"/>
      <c r="M8" s="13">
        <f>G8*L8</f>
        <v/>
      </c>
      <c r="N8" s="15" t="n">
        <v>4</v>
      </c>
      <c r="O8" s="16" t="inlineStr">
        <is>
          <t>Should</t>
        </is>
      </c>
      <c r="P8" s="17" t="n"/>
      <c r="Q8" s="10" t="inlineStr">
        <is>
          <t>CRPA for serious EW</t>
        </is>
      </c>
    </row>
    <row r="9">
      <c r="A9" s="9" t="n">
        <v>8</v>
      </c>
      <c r="B9" s="9" t="inlineStr">
        <is>
          <t>Datalink</t>
        </is>
      </c>
      <c r="C9" s="10" t="inlineStr">
        <is>
          <t>C2 MANET radio</t>
        </is>
      </c>
      <c r="D9" s="10" t="inlineStr">
        <is>
          <t>Encrypted mesh C2 (monitored link)</t>
        </is>
      </c>
      <c r="E9" s="10" t="inlineStr">
        <is>
          <t>Silvus StreamCaster / Doodle Labs</t>
        </is>
      </c>
      <c r="F9" s="9" t="inlineStr">
        <is>
          <t>Silvus / Doodle Labs</t>
        </is>
      </c>
      <c r="G9" s="11" t="n">
        <v>1</v>
      </c>
      <c r="H9" s="12" t="n">
        <v>3000</v>
      </c>
      <c r="I9" s="12" t="n">
        <v>9000</v>
      </c>
      <c r="J9" s="13">
        <f>G9*H9</f>
        <v/>
      </c>
      <c r="K9" s="13">
        <f>G9*I9</f>
        <v/>
      </c>
      <c r="L9" s="14" t="n"/>
      <c r="M9" s="13">
        <f>G9*L9</f>
        <v/>
      </c>
      <c r="N9" s="15" t="n">
        <v>8</v>
      </c>
      <c r="O9" s="16" t="inlineStr">
        <is>
          <t>Must</t>
        </is>
      </c>
      <c r="P9" s="17" t="n"/>
      <c r="Q9" s="10" t="inlineStr">
        <is>
          <t>The 'network layer' M1/M4 inspect</t>
        </is>
      </c>
    </row>
    <row r="10">
      <c r="A10" s="9" t="n">
        <v>9</v>
      </c>
      <c r="B10" s="9" t="inlineStr">
        <is>
          <t>Datalink</t>
        </is>
      </c>
      <c r="C10" s="10" t="inlineStr">
        <is>
          <t>BVLOS backhaul</t>
        </is>
      </c>
      <c r="D10" s="10" t="inlineStr">
        <is>
          <t>4G/5G modem + NTRIP</t>
        </is>
      </c>
      <c r="E10" s="10" t="inlineStr">
        <is>
          <t>Sierra/Quectel 5G modem</t>
        </is>
      </c>
      <c r="F10" s="9" t="inlineStr">
        <is>
          <t>Sierra Wireless</t>
        </is>
      </c>
      <c r="G10" s="11" t="n">
        <v>1</v>
      </c>
      <c r="H10" s="12" t="n">
        <v>150</v>
      </c>
      <c r="I10" s="12" t="n">
        <v>400</v>
      </c>
      <c r="J10" s="13">
        <f>G10*H10</f>
        <v/>
      </c>
      <c r="K10" s="13">
        <f>G10*I10</f>
        <v/>
      </c>
      <c r="L10" s="14" t="n"/>
      <c r="M10" s="13">
        <f>G10*L10</f>
        <v/>
      </c>
      <c r="N10" s="15" t="n">
        <v>3</v>
      </c>
      <c r="O10" s="16" t="inlineStr">
        <is>
          <t>Should</t>
        </is>
      </c>
      <c r="P10" s="17" t="n"/>
      <c r="Q10" s="10" t="inlineStr">
        <is>
          <t>Telemetry + RTK corrections</t>
        </is>
      </c>
    </row>
    <row r="11">
      <c r="A11" s="9" t="n">
        <v>10</v>
      </c>
      <c r="B11" s="9" t="inlineStr">
        <is>
          <t>Datalink</t>
        </is>
      </c>
      <c r="C11" s="10" t="inlineStr">
        <is>
          <t>Backup telemetry</t>
        </is>
      </c>
      <c r="D11" s="10" t="inlineStr">
        <is>
          <t>Fail-safe C2</t>
        </is>
      </c>
      <c r="E11" s="10" t="inlineStr">
        <is>
          <t>RFD900x</t>
        </is>
      </c>
      <c r="F11" s="9" t="inlineStr">
        <is>
          <t>RFDesign</t>
        </is>
      </c>
      <c r="G11" s="11" t="n">
        <v>1</v>
      </c>
      <c r="H11" s="12" t="n">
        <v>250</v>
      </c>
      <c r="I11" s="12" t="n">
        <v>500</v>
      </c>
      <c r="J11" s="13">
        <f>G11*H11</f>
        <v/>
      </c>
      <c r="K11" s="13">
        <f>G11*I11</f>
        <v/>
      </c>
      <c r="L11" s="14" t="n"/>
      <c r="M11" s="13">
        <f>G11*L11</f>
        <v/>
      </c>
      <c r="N11" s="15" t="n">
        <v>3</v>
      </c>
      <c r="O11" s="16" t="inlineStr">
        <is>
          <t>Should</t>
        </is>
      </c>
      <c r="P11" s="17" t="n"/>
      <c r="Q11" s="10" t="inlineStr">
        <is>
          <t>Redundant link</t>
        </is>
      </c>
    </row>
    <row r="12">
      <c r="A12" s="9" t="n">
        <v>11</v>
      </c>
      <c r="B12" s="9" t="inlineStr">
        <is>
          <t>Payload</t>
        </is>
      </c>
      <c r="C12" s="10" t="inlineStr">
        <is>
          <t>Multispectral camera</t>
        </is>
      </c>
      <c r="D12" s="10" t="inlineStr">
        <is>
          <t>NDVI/NDRE harvest-due sensing</t>
        </is>
      </c>
      <c r="E12" s="10" t="inlineStr">
        <is>
          <t>MicaSense Altum-PT / RedEdge-P</t>
        </is>
      </c>
      <c r="F12" s="9" t="inlineStr">
        <is>
          <t>AgEagle/MicaSense</t>
        </is>
      </c>
      <c r="G12" s="11" t="n">
        <v>1</v>
      </c>
      <c r="H12" s="12" t="n">
        <v>8000</v>
      </c>
      <c r="I12" s="12" t="n">
        <v>13000</v>
      </c>
      <c r="J12" s="13">
        <f>G12*H12</f>
        <v/>
      </c>
      <c r="K12" s="13">
        <f>G12*I12</f>
        <v/>
      </c>
      <c r="L12" s="14" t="n"/>
      <c r="M12" s="13">
        <f>G12*L12</f>
        <v/>
      </c>
      <c r="N12" s="15" t="n">
        <v>8</v>
      </c>
      <c r="O12" s="16" t="inlineStr">
        <is>
          <t>Must</t>
        </is>
      </c>
      <c r="P12" s="17" t="n"/>
      <c r="Q12" s="10" t="inlineStr">
        <is>
          <t>Core harvest-readiness sensor</t>
        </is>
      </c>
    </row>
    <row r="13">
      <c r="A13" s="9" t="n">
        <v>12</v>
      </c>
      <c r="B13" s="9" t="inlineStr">
        <is>
          <t>Payload</t>
        </is>
      </c>
      <c r="C13" s="10" t="inlineStr">
        <is>
          <t>Radiometric calibration</t>
        </is>
      </c>
      <c r="D13" s="10" t="inlineStr">
        <is>
          <t>Downwelling sensor + panel</t>
        </is>
      </c>
      <c r="E13" s="10" t="inlineStr">
        <is>
          <t>MicaSense DLS 2 + reflectance panel</t>
        </is>
      </c>
      <c r="F13" s="9" t="inlineStr">
        <is>
          <t>AgEagle/MicaSense</t>
        </is>
      </c>
      <c r="G13" s="11" t="n">
        <v>1</v>
      </c>
      <c r="H13" s="12" t="n">
        <v>500</v>
      </c>
      <c r="I13" s="12" t="n">
        <v>1500</v>
      </c>
      <c r="J13" s="13">
        <f>G13*H13</f>
        <v/>
      </c>
      <c r="K13" s="13">
        <f>G13*I13</f>
        <v/>
      </c>
      <c r="L13" s="14" t="n"/>
      <c r="M13" s="13">
        <f>G13*L13</f>
        <v/>
      </c>
      <c r="N13" s="15" t="n">
        <v>8</v>
      </c>
      <c r="O13" s="16" t="inlineStr">
        <is>
          <t>Must</t>
        </is>
      </c>
      <c r="P13" s="17" t="n"/>
      <c r="Q13" s="10" t="inlineStr">
        <is>
          <t>Essential for valid NDVI</t>
        </is>
      </c>
    </row>
    <row r="14">
      <c r="A14" s="9" t="n">
        <v>13</v>
      </c>
      <c r="B14" s="9" t="inlineStr">
        <is>
          <t>Payload</t>
        </is>
      </c>
      <c r="C14" s="10" t="inlineStr">
        <is>
          <t>RGB camera (opt.)</t>
        </is>
      </c>
      <c r="D14" s="10" t="inlineStr">
        <is>
          <t>High-res scouting / ground truth</t>
        </is>
      </c>
      <c r="E14" s="10" t="inlineStr">
        <is>
          <t>Sony a7R / integrated</t>
        </is>
      </c>
      <c r="F14" s="9" t="inlineStr">
        <is>
          <t>Sony</t>
        </is>
      </c>
      <c r="G14" s="11" t="n">
        <v>1</v>
      </c>
      <c r="H14" s="12" t="n">
        <v>1000</v>
      </c>
      <c r="I14" s="12" t="n">
        <v>6000</v>
      </c>
      <c r="J14" s="13">
        <f>G14*H14</f>
        <v/>
      </c>
      <c r="K14" s="13">
        <f>G14*I14</f>
        <v/>
      </c>
      <c r="L14" s="14" t="n"/>
      <c r="M14" s="13">
        <f>G14*L14</f>
        <v/>
      </c>
      <c r="N14" s="15" t="n">
        <v>4</v>
      </c>
      <c r="O14" s="16" t="inlineStr">
        <is>
          <t>Optional</t>
        </is>
      </c>
      <c r="P14" s="17" t="n"/>
      <c r="Q14" s="10" t="inlineStr"/>
    </row>
    <row r="15">
      <c r="A15" s="9" t="n">
        <v>14</v>
      </c>
      <c r="B15" s="9" t="inlineStr">
        <is>
          <t>Payload</t>
        </is>
      </c>
      <c r="C15" s="10" t="inlineStr">
        <is>
          <t>Thermal (opt.)</t>
        </is>
      </c>
      <c r="D15" s="10" t="inlineStr">
        <is>
          <t>Crop water stress</t>
        </is>
      </c>
      <c r="E15" s="10" t="inlineStr">
        <is>
          <t>FLIR Vue TZ20</t>
        </is>
      </c>
      <c r="F15" s="9" t="inlineStr">
        <is>
          <t>Teledyne FLIR</t>
        </is>
      </c>
      <c r="G15" s="11" t="n">
        <v>1</v>
      </c>
      <c r="H15" s="12" t="n">
        <v>3000</v>
      </c>
      <c r="I15" s="12" t="n">
        <v>8000</v>
      </c>
      <c r="J15" s="13">
        <f>G15*H15</f>
        <v/>
      </c>
      <c r="K15" s="13">
        <f>G15*I15</f>
        <v/>
      </c>
      <c r="L15" s="14" t="n"/>
      <c r="M15" s="13">
        <f>G15*L15</f>
        <v/>
      </c>
      <c r="N15" s="15" t="n">
        <v>6</v>
      </c>
      <c r="O15" s="16" t="inlineStr">
        <is>
          <t>Optional</t>
        </is>
      </c>
      <c r="P15" s="17" t="n"/>
      <c r="Q15" s="10" t="inlineStr"/>
    </row>
    <row r="16">
      <c r="A16" s="9" t="n">
        <v>15</v>
      </c>
      <c r="B16" s="9" t="inlineStr">
        <is>
          <t>Payload</t>
        </is>
      </c>
      <c r="C16" s="10" t="inlineStr">
        <is>
          <t>LiDAR (opt.)</t>
        </is>
      </c>
      <c r="D16" s="10" t="inlineStr">
        <is>
          <t>Biomass / canopy height</t>
        </is>
      </c>
      <c r="E16" s="10" t="inlineStr">
        <is>
          <t>DJI Zenmuse L2 / Livox</t>
        </is>
      </c>
      <c r="F16" s="9" t="inlineStr">
        <is>
          <t>DJI / Livox</t>
        </is>
      </c>
      <c r="G16" s="11" t="n">
        <v>1</v>
      </c>
      <c r="H16" s="12" t="n">
        <v>3000</v>
      </c>
      <c r="I16" s="12" t="n">
        <v>12000</v>
      </c>
      <c r="J16" s="13">
        <f>G16*H16</f>
        <v/>
      </c>
      <c r="K16" s="13">
        <f>G16*I16</f>
        <v/>
      </c>
      <c r="L16" s="14" t="n"/>
      <c r="M16" s="13">
        <f>G16*L16</f>
        <v/>
      </c>
      <c r="N16" s="15" t="n">
        <v>6</v>
      </c>
      <c r="O16" s="16" t="inlineStr">
        <is>
          <t>Optional</t>
        </is>
      </c>
      <c r="P16" s="17" t="n"/>
      <c r="Q16" s="10" t="inlineStr"/>
    </row>
    <row r="17">
      <c r="A17" s="9" t="n">
        <v>16</v>
      </c>
      <c r="B17" s="9" t="inlineStr">
        <is>
          <t>Payload</t>
        </is>
      </c>
      <c r="C17" s="10" t="inlineStr">
        <is>
          <t>Gimbal</t>
        </is>
      </c>
      <c r="D17" s="10" t="inlineStr">
        <is>
          <t>Payload stabilisation</t>
        </is>
      </c>
      <c r="E17" s="10" t="inlineStr">
        <is>
          <t>Gremsy / integrated</t>
        </is>
      </c>
      <c r="F17" s="9" t="inlineStr">
        <is>
          <t>Gremsy</t>
        </is>
      </c>
      <c r="G17" s="11" t="n">
        <v>1</v>
      </c>
      <c r="H17" s="12" t="n">
        <v>300</v>
      </c>
      <c r="I17" s="12" t="n">
        <v>2500</v>
      </c>
      <c r="J17" s="13">
        <f>G17*H17</f>
        <v/>
      </c>
      <c r="K17" s="13">
        <f>G17*I17</f>
        <v/>
      </c>
      <c r="L17" s="14" t="n"/>
      <c r="M17" s="13">
        <f>G17*L17</f>
        <v/>
      </c>
      <c r="N17" s="15" t="n">
        <v>4</v>
      </c>
      <c r="O17" s="16" t="inlineStr">
        <is>
          <t>Should</t>
        </is>
      </c>
      <c r="P17" s="17" t="n"/>
      <c r="Q17" s="10" t="inlineStr"/>
    </row>
    <row r="18">
      <c r="A18" s="9" t="n">
        <v>17</v>
      </c>
      <c r="B18" s="9" t="inlineStr">
        <is>
          <t>Edge Gateway</t>
        </is>
      </c>
      <c r="C18" s="10" t="inlineStr">
        <is>
          <t>Tier-2 compute</t>
        </is>
      </c>
      <c r="D18" s="10" t="inlineStr">
        <is>
          <t>Full RobustIDPS.ai + M1/M6/M7</t>
        </is>
      </c>
      <c r="E18" s="10" t="inlineStr">
        <is>
          <t>Jetson AGX Orin 64GB (rugged)</t>
        </is>
      </c>
      <c r="F18" s="9" t="inlineStr">
        <is>
          <t>NVIDIA / ConnectTech</t>
        </is>
      </c>
      <c r="G18" s="11" t="n">
        <v>1</v>
      </c>
      <c r="H18" s="12" t="n">
        <v>2000</v>
      </c>
      <c r="I18" s="12" t="n">
        <v>5000</v>
      </c>
      <c r="J18" s="13">
        <f>G18*H18</f>
        <v/>
      </c>
      <c r="K18" s="13">
        <f>G18*I18</f>
        <v/>
      </c>
      <c r="L18" s="14" t="n"/>
      <c r="M18" s="13">
        <f>G18*L18</f>
        <v/>
      </c>
      <c r="N18" s="15" t="n">
        <v>6</v>
      </c>
      <c r="O18" s="16" t="inlineStr">
        <is>
          <t>Must</t>
        </is>
      </c>
      <c r="P18" s="17" t="n"/>
      <c r="Q18" s="10" t="inlineStr">
        <is>
          <t>~275 TOPS; full crop-maturity model</t>
        </is>
      </c>
    </row>
    <row r="19">
      <c r="A19" s="9" t="n">
        <v>18</v>
      </c>
      <c r="B19" s="9" t="inlineStr">
        <is>
          <t>Ground</t>
        </is>
      </c>
      <c r="C19" s="10" t="inlineStr">
        <is>
          <t>RTK base station</t>
        </is>
      </c>
      <c r="D19" s="10" t="inlineStr">
        <is>
          <t>cm-level corrections</t>
        </is>
      </c>
      <c r="E19" s="10" t="inlineStr">
        <is>
          <t>Emlid Reach RS3</t>
        </is>
      </c>
      <c r="F19" s="9" t="inlineStr">
        <is>
          <t>Emlid</t>
        </is>
      </c>
      <c r="G19" s="11" t="n">
        <v>1</v>
      </c>
      <c r="H19" s="12" t="n">
        <v>2000</v>
      </c>
      <c r="I19" s="12" t="n">
        <v>3500</v>
      </c>
      <c r="J19" s="13">
        <f>G19*H19</f>
        <v/>
      </c>
      <c r="K19" s="13">
        <f>G19*I19</f>
        <v/>
      </c>
      <c r="L19" s="14" t="n"/>
      <c r="M19" s="13">
        <f>G19*L19</f>
        <v/>
      </c>
      <c r="N19" s="15" t="n">
        <v>3</v>
      </c>
      <c r="O19" s="16" t="inlineStr">
        <is>
          <t>Should</t>
        </is>
      </c>
      <c r="P19" s="17" t="n"/>
      <c r="Q19" s="10" t="inlineStr">
        <is>
          <t>Or NTRIP subscription (OPEX)</t>
        </is>
      </c>
    </row>
    <row r="20">
      <c r="A20" s="9" t="n">
        <v>19</v>
      </c>
      <c r="B20" s="9" t="inlineStr">
        <is>
          <t>Ground</t>
        </is>
      </c>
      <c r="C20" s="10" t="inlineStr">
        <is>
          <t>Ground control station</t>
        </is>
      </c>
      <c r="D20" s="10" t="inlineStr">
        <is>
          <t>Mission planning + monitoring</t>
        </is>
      </c>
      <c r="E20" s="10" t="inlineStr">
        <is>
          <t>Rugged laptop/tablet + QGC</t>
        </is>
      </c>
      <c r="F20" s="9" t="inlineStr">
        <is>
          <t>Getac / Panasonic</t>
        </is>
      </c>
      <c r="G20" s="11" t="n">
        <v>1</v>
      </c>
      <c r="H20" s="12" t="n">
        <v>1500</v>
      </c>
      <c r="I20" s="12" t="n">
        <v>4000</v>
      </c>
      <c r="J20" s="13">
        <f>G20*H20</f>
        <v/>
      </c>
      <c r="K20" s="13">
        <f>G20*I20</f>
        <v/>
      </c>
      <c r="L20" s="14" t="n"/>
      <c r="M20" s="13">
        <f>G20*L20</f>
        <v/>
      </c>
      <c r="N20" s="15" t="n">
        <v>3</v>
      </c>
      <c r="O20" s="16" t="inlineStr">
        <is>
          <t>Must</t>
        </is>
      </c>
      <c r="P20" s="17" t="n"/>
      <c r="Q20" s="10" t="inlineStr">
        <is>
          <t>QGroundControl / Mission Planner</t>
        </is>
      </c>
    </row>
    <row r="21">
      <c r="A21" s="9" t="n">
        <v>20</v>
      </c>
      <c r="B21" s="9" t="inlineStr">
        <is>
          <t>Ground</t>
        </is>
      </c>
      <c r="C21" s="10" t="inlineStr">
        <is>
          <t>Field networking</t>
        </is>
      </c>
      <c r="D21" s="10" t="inlineStr">
        <is>
          <t>Router + PoE switch + UPS</t>
        </is>
      </c>
      <c r="E21" s="10" t="inlineStr">
        <is>
          <t>Teltonika RUTX + PoE switch</t>
        </is>
      </c>
      <c r="F21" s="9" t="inlineStr">
        <is>
          <t>Teltonika</t>
        </is>
      </c>
      <c r="G21" s="11" t="n">
        <v>1</v>
      </c>
      <c r="H21" s="12" t="n">
        <v>400</v>
      </c>
      <c r="I21" s="12" t="n">
        <v>900</v>
      </c>
      <c r="J21" s="13">
        <f>G21*H21</f>
        <v/>
      </c>
      <c r="K21" s="13">
        <f>G21*I21</f>
        <v/>
      </c>
      <c r="L21" s="14" t="n"/>
      <c r="M21" s="13">
        <f>G21*L21</f>
        <v/>
      </c>
      <c r="N21" s="15" t="n">
        <v>3</v>
      </c>
      <c r="O21" s="16" t="inlineStr">
        <is>
          <t>Should</t>
        </is>
      </c>
      <c r="P21" s="17" t="n"/>
      <c r="Q21" s="10" t="inlineStr"/>
    </row>
    <row r="22">
      <c r="A22" s="9" t="n">
        <v>21</v>
      </c>
      <c r="B22" s="9" t="inlineStr">
        <is>
          <t>Ground</t>
        </is>
      </c>
      <c r="C22" s="10" t="inlineStr">
        <is>
          <t>Field power</t>
        </is>
      </c>
      <c r="D22" s="10" t="inlineStr">
        <is>
          <t>Portable power + solar/generator</t>
        </is>
      </c>
      <c r="E22" s="10" t="inlineStr">
        <is>
          <t>2 kWh power station + solar</t>
        </is>
      </c>
      <c r="F22" s="9" t="inlineStr">
        <is>
          <t>EcoFlow / Bluetti</t>
        </is>
      </c>
      <c r="G22" s="11" t="n">
        <v>1</v>
      </c>
      <c r="H22" s="12" t="n">
        <v>800</v>
      </c>
      <c r="I22" s="12" t="n">
        <v>2500</v>
      </c>
      <c r="J22" s="13">
        <f>G22*H22</f>
        <v/>
      </c>
      <c r="K22" s="13">
        <f>G22*I22</f>
        <v/>
      </c>
      <c r="L22" s="14" t="n"/>
      <c r="M22" s="13">
        <f>G22*L22</f>
        <v/>
      </c>
      <c r="N22" s="15" t="n">
        <v>3</v>
      </c>
      <c r="O22" s="16" t="inlineStr">
        <is>
          <t>Should</t>
        </is>
      </c>
      <c r="P22" s="17" t="n"/>
      <c r="Q22" s="10" t="inlineStr"/>
    </row>
    <row r="23">
      <c r="A23" s="9" t="n">
        <v>22</v>
      </c>
      <c r="B23" s="9" t="inlineStr">
        <is>
          <t>Security</t>
        </is>
      </c>
      <c r="C23" s="10" t="inlineStr">
        <is>
          <t>Secure element</t>
        </is>
      </c>
      <c r="D23" s="10" t="inlineStr">
        <is>
          <t>Onboard key store / signed updates</t>
        </is>
      </c>
      <c r="E23" s="10" t="inlineStr">
        <is>
          <t>Microchip ATECC608 (board)</t>
        </is>
      </c>
      <c r="F23" s="9" t="inlineStr">
        <is>
          <t>Microchip</t>
        </is>
      </c>
      <c r="G23" s="11" t="n">
        <v>1</v>
      </c>
      <c r="H23" s="12" t="n">
        <v>20</v>
      </c>
      <c r="I23" s="12" t="n">
        <v>60</v>
      </c>
      <c r="J23" s="13">
        <f>G23*H23</f>
        <v/>
      </c>
      <c r="K23" s="13">
        <f>G23*I23</f>
        <v/>
      </c>
      <c r="L23" s="14" t="n"/>
      <c r="M23" s="13">
        <f>G23*L23</f>
        <v/>
      </c>
      <c r="N23" s="15" t="n">
        <v>3</v>
      </c>
      <c r="O23" s="16" t="inlineStr">
        <is>
          <t>Must</t>
        </is>
      </c>
      <c r="P23" s="17" t="n"/>
      <c r="Q23" s="10" t="inlineStr">
        <is>
          <t>Verifies PQC-signed models</t>
        </is>
      </c>
    </row>
    <row r="24">
      <c r="A24" s="9" t="n">
        <v>23</v>
      </c>
      <c r="B24" s="9" t="inlineStr">
        <is>
          <t>Security</t>
        </is>
      </c>
      <c r="C24" s="10" t="inlineStr">
        <is>
          <t>HSM</t>
        </is>
      </c>
      <c r="D24" s="10" t="inlineStr">
        <is>
          <t>Sign Kyber-1024 / Dilithium updates</t>
        </is>
      </c>
      <c r="E24" s="10" t="inlineStr">
        <is>
          <t>YubiHSM 2</t>
        </is>
      </c>
      <c r="F24" s="9" t="inlineStr">
        <is>
          <t>Yubico</t>
        </is>
      </c>
      <c r="G24" s="11" t="n">
        <v>1</v>
      </c>
      <c r="H24" s="12" t="n">
        <v>650</v>
      </c>
      <c r="I24" s="12" t="n">
        <v>950</v>
      </c>
      <c r="J24" s="13">
        <f>G24*H24</f>
        <v/>
      </c>
      <c r="K24" s="13">
        <f>G24*I24</f>
        <v/>
      </c>
      <c r="L24" s="14" t="n"/>
      <c r="M24" s="13">
        <f>G24*L24</f>
        <v/>
      </c>
      <c r="N24" s="15" t="n">
        <v>3</v>
      </c>
      <c r="O24" s="16" t="inlineStr">
        <is>
          <t>Should</t>
        </is>
      </c>
      <c r="P24" s="17" t="n"/>
      <c r="Q24" s="10" t="inlineStr">
        <is>
          <t>PQC update channel at gateway</t>
        </is>
      </c>
    </row>
    <row r="25">
      <c r="A25" s="9" t="n">
        <v>24</v>
      </c>
      <c r="B25" s="9" t="inlineStr">
        <is>
          <t>Test/Validation</t>
        </is>
      </c>
      <c r="C25" s="10" t="inlineStr">
        <is>
          <t>Spectrum analyzer</t>
        </is>
      </c>
      <c r="D25" s="10" t="inlineStr">
        <is>
          <t>Measure real J/S + noise floor</t>
        </is>
      </c>
      <c r="E25" s="10" t="inlineStr">
        <is>
          <t>Signal Hound BB60 / tinySA Ultra</t>
        </is>
      </c>
      <c r="F25" s="9" t="inlineStr">
        <is>
          <t>Signal Hound</t>
        </is>
      </c>
      <c r="G25" s="11" t="n">
        <v>1</v>
      </c>
      <c r="H25" s="12" t="n">
        <v>500</v>
      </c>
      <c r="I25" s="12" t="n">
        <v>3500</v>
      </c>
      <c r="J25" s="13">
        <f>G25*H25</f>
        <v/>
      </c>
      <c r="K25" s="13">
        <f>G25*I25</f>
        <v/>
      </c>
      <c r="L25" s="14" t="n"/>
      <c r="M25" s="13">
        <f>G25*L25</f>
        <v/>
      </c>
      <c r="N25" s="15" t="n">
        <v>3</v>
      </c>
      <c r="O25" s="16" t="inlineStr">
        <is>
          <t>Should</t>
        </is>
      </c>
      <c r="P25" s="17" t="n"/>
      <c r="Q25" s="10" t="inlineStr">
        <is>
          <t>Validate field vs benchmark</t>
        </is>
      </c>
    </row>
    <row r="26">
      <c r="A26" s="9" t="n">
        <v>25</v>
      </c>
      <c r="B26" s="9" t="inlineStr">
        <is>
          <t>Test/Validation</t>
        </is>
      </c>
      <c r="C26" s="10" t="inlineStr">
        <is>
          <t>GNSS sim (rent)</t>
        </is>
      </c>
      <c r="D26" s="10" t="inlineStr">
        <is>
          <t>Cabled spoof/jam replay</t>
        </is>
      </c>
      <c r="E26" s="10" t="inlineStr">
        <is>
          <t>LabSat 3 / Spirent</t>
        </is>
      </c>
      <c r="F26" s="9" t="inlineStr">
        <is>
          <t>Racelogic / Spirent</t>
        </is>
      </c>
      <c r="G26" s="11" t="n">
        <v>1</v>
      </c>
      <c r="H26" s="12" t="n">
        <v>1000</v>
      </c>
      <c r="I26" s="12" t="n">
        <v>20000</v>
      </c>
      <c r="J26" s="13">
        <f>G26*H26</f>
        <v/>
      </c>
      <c r="K26" s="13">
        <f>G26*I26</f>
        <v/>
      </c>
      <c r="L26" s="14" t="n"/>
      <c r="M26" s="13">
        <f>G26*L26</f>
        <v/>
      </c>
      <c r="N26" s="15" t="n">
        <v>4</v>
      </c>
      <c r="O26" s="16" t="inlineStr">
        <is>
          <t>Should</t>
        </is>
      </c>
      <c r="P26" s="17" t="n"/>
      <c r="Q26" s="10" t="inlineStr">
        <is>
          <t>Rental OK; range/Faraday only</t>
        </is>
      </c>
    </row>
    <row r="27">
      <c r="A27" s="9" t="n">
        <v>26</v>
      </c>
      <c r="B27" s="9" t="inlineStr">
        <is>
          <t>Test/Validation</t>
        </is>
      </c>
      <c r="C27" s="10" t="inlineStr">
        <is>
          <t>SDR</t>
        </is>
      </c>
      <c r="D27" s="10" t="inlineStr">
        <is>
          <t>RF characterisation</t>
        </is>
      </c>
      <c r="E27" s="10" t="inlineStr">
        <is>
          <t>USRP B210 / HackRF</t>
        </is>
      </c>
      <c r="F27" s="9" t="inlineStr">
        <is>
          <t>Ettus / Great Scott</t>
        </is>
      </c>
      <c r="G27" s="11" t="n">
        <v>1</v>
      </c>
      <c r="H27" s="12" t="n">
        <v>300</v>
      </c>
      <c r="I27" s="12" t="n">
        <v>3000</v>
      </c>
      <c r="J27" s="13">
        <f>G27*H27</f>
        <v/>
      </c>
      <c r="K27" s="13">
        <f>G27*I27</f>
        <v/>
      </c>
      <c r="L27" s="14" t="n"/>
      <c r="M27" s="13">
        <f>G27*L27</f>
        <v/>
      </c>
      <c r="N27" s="15" t="n">
        <v>3</v>
      </c>
      <c r="O27" s="16" t="inlineStr">
        <is>
          <t>Optional</t>
        </is>
      </c>
      <c r="P27" s="17" t="n"/>
      <c r="Q27" s="10" t="inlineStr"/>
    </row>
    <row r="28">
      <c r="A28" s="9" t="n">
        <v>27</v>
      </c>
      <c r="B28" s="9" t="inlineStr">
        <is>
          <t>Consumables</t>
        </is>
      </c>
      <c r="C28" s="10" t="inlineStr">
        <is>
          <t>Flight batteries</t>
        </is>
      </c>
      <c r="D28" s="10" t="inlineStr">
        <is>
          <t>Smart LiPo/Li-ion packs</t>
        </is>
      </c>
      <c r="E28" s="10" t="inlineStr">
        <is>
          <t>OEM smart batteries</t>
        </is>
      </c>
      <c r="F28" s="9" t="inlineStr">
        <is>
          <t>OEM</t>
        </is>
      </c>
      <c r="G28" s="11" t="n">
        <v>8</v>
      </c>
      <c r="H28" s="12" t="n">
        <v>200</v>
      </c>
      <c r="I28" s="12" t="n">
        <v>600</v>
      </c>
      <c r="J28" s="13">
        <f>G28*H28</f>
        <v/>
      </c>
      <c r="K28" s="13">
        <f>G28*I28</f>
        <v/>
      </c>
      <c r="L28" s="14" t="n"/>
      <c r="M28" s="13">
        <f>G28*L28</f>
        <v/>
      </c>
      <c r="N28" s="15" t="n">
        <v>3</v>
      </c>
      <c r="O28" s="16" t="inlineStr">
        <is>
          <t>Must</t>
        </is>
      </c>
      <c r="P28" s="17" t="n"/>
      <c r="Q28" s="10" t="inlineStr">
        <is>
          <t>Rotate 6-10 packs</t>
        </is>
      </c>
    </row>
    <row r="29">
      <c r="A29" s="9" t="n">
        <v>28</v>
      </c>
      <c r="B29" s="9" t="inlineStr">
        <is>
          <t>Consumables</t>
        </is>
      </c>
      <c r="C29" s="10" t="inlineStr">
        <is>
          <t>Charging</t>
        </is>
      </c>
      <c r="D29" s="10" t="inlineStr">
        <is>
          <t>Multi-charger + LiPo bags</t>
        </is>
      </c>
      <c r="E29" s="10" t="inlineStr">
        <is>
          <t>Fast multi-charger</t>
        </is>
      </c>
      <c r="F29" s="9" t="inlineStr">
        <is>
          <t>OEM</t>
        </is>
      </c>
      <c r="G29" s="11" t="n">
        <v>1</v>
      </c>
      <c r="H29" s="12" t="n">
        <v>300</v>
      </c>
      <c r="I29" s="12" t="n">
        <v>1200</v>
      </c>
      <c r="J29" s="13">
        <f>G29*H29</f>
        <v/>
      </c>
      <c r="K29" s="13">
        <f>G29*I29</f>
        <v/>
      </c>
      <c r="L29" s="14" t="n"/>
      <c r="M29" s="13">
        <f>G29*L29</f>
        <v/>
      </c>
      <c r="N29" s="15" t="n">
        <v>3</v>
      </c>
      <c r="O29" s="16" t="inlineStr">
        <is>
          <t>Must</t>
        </is>
      </c>
      <c r="P29" s="17" t="n"/>
      <c r="Q29" s="10" t="inlineStr"/>
    </row>
    <row r="30">
      <c r="A30" s="9" t="n">
        <v>29</v>
      </c>
      <c r="B30" s="9" t="inlineStr">
        <is>
          <t>Tools</t>
        </is>
      </c>
      <c r="C30" s="10" t="inlineStr">
        <is>
          <t>Assembly toolkit</t>
        </is>
      </c>
      <c r="D30" s="10" t="inlineStr">
        <is>
          <t>Drivers, solder, multimeter, crimpers</t>
        </is>
      </c>
      <c r="E30" s="10" t="inlineStr">
        <is>
          <t>Precision toolkit</t>
        </is>
      </c>
      <c r="F30" s="9" t="inlineStr">
        <is>
          <t>iFixit / Weller</t>
        </is>
      </c>
      <c r="G30" s="11" t="n">
        <v>1</v>
      </c>
      <c r="H30" s="12" t="n">
        <v>300</v>
      </c>
      <c r="I30" s="12" t="n">
        <v>1500</v>
      </c>
      <c r="J30" s="13">
        <f>G30*H30</f>
        <v/>
      </c>
      <c r="K30" s="13">
        <f>G30*I30</f>
        <v/>
      </c>
      <c r="L30" s="14" t="n"/>
      <c r="M30" s="13">
        <f>G30*L30</f>
        <v/>
      </c>
      <c r="N30" s="15" t="n">
        <v>2</v>
      </c>
      <c r="O30" s="16" t="inlineStr">
        <is>
          <t>Must</t>
        </is>
      </c>
      <c r="P30" s="17" t="n"/>
      <c r="Q30" s="10" t="inlineStr"/>
    </row>
    <row r="31">
      <c r="A31" s="9" t="n">
        <v>30</v>
      </c>
      <c r="B31" s="9" t="inlineStr">
        <is>
          <t>Logistics</t>
        </is>
      </c>
      <c r="C31" s="10" t="inlineStr">
        <is>
          <t>Transit cases</t>
        </is>
      </c>
      <c r="D31" s="10" t="inlineStr">
        <is>
          <t>Rugged transport</t>
        </is>
      </c>
      <c r="E31" s="10" t="inlineStr">
        <is>
          <t>Pelican / SKB</t>
        </is>
      </c>
      <c r="F31" s="9" t="inlineStr">
        <is>
          <t>Pelican</t>
        </is>
      </c>
      <c r="G31" s="11" t="n">
        <v>3</v>
      </c>
      <c r="H31" s="12" t="n">
        <v>150</v>
      </c>
      <c r="I31" s="12" t="n">
        <v>400</v>
      </c>
      <c r="J31" s="13">
        <f>G31*H31</f>
        <v/>
      </c>
      <c r="K31" s="13">
        <f>G31*I31</f>
        <v/>
      </c>
      <c r="L31" s="14" t="n"/>
      <c r="M31" s="13">
        <f>G31*L31</f>
        <v/>
      </c>
      <c r="N31" s="15" t="n">
        <v>3</v>
      </c>
      <c r="O31" s="16" t="inlineStr">
        <is>
          <t>Should</t>
        </is>
      </c>
      <c r="P31" s="17" t="n"/>
      <c r="Q31" s="10" t="inlineStr"/>
    </row>
    <row r="32">
      <c r="A32" s="9" t="n">
        <v>31</v>
      </c>
      <c r="B32" s="9" t="inlineStr">
        <is>
          <t>Logistics</t>
        </is>
      </c>
      <c r="C32" s="10" t="inlineStr">
        <is>
          <t>Field accessories</t>
        </is>
      </c>
      <c r="D32" s="10" t="inlineStr">
        <is>
          <t>Landing pad, GCP targets, ND filters</t>
        </is>
      </c>
      <c r="E32" s="10" t="inlineStr">
        <is>
          <t>Assorted</t>
        </is>
      </c>
      <c r="F32" s="9" t="inlineStr">
        <is>
          <t>Assorted</t>
        </is>
      </c>
      <c r="G32" s="11" t="n">
        <v>1</v>
      </c>
      <c r="H32" s="12" t="n">
        <v>200</v>
      </c>
      <c r="I32" s="12" t="n">
        <v>800</v>
      </c>
      <c r="J32" s="13">
        <f>G32*H32</f>
        <v/>
      </c>
      <c r="K32" s="13">
        <f>G32*I32</f>
        <v/>
      </c>
      <c r="L32" s="14" t="n"/>
      <c r="M32" s="13">
        <f>G32*L32</f>
        <v/>
      </c>
      <c r="N32" s="15" t="n">
        <v>2</v>
      </c>
      <c r="O32" s="16" t="inlineStr">
        <is>
          <t>Should</t>
        </is>
      </c>
      <c r="P32" s="17" t="n"/>
      <c r="Q32" s="10" t="inlineStr"/>
    </row>
    <row r="33">
      <c r="A33" s="9" t="n">
        <v>32</v>
      </c>
      <c r="B33" s="9" t="inlineStr">
        <is>
          <t>Safety</t>
        </is>
      </c>
      <c r="C33" s="10" t="inlineStr">
        <is>
          <t>Safety kit</t>
        </is>
      </c>
      <c r="D33" s="10" t="inlineStr">
        <is>
          <t>Li-ion extinguisher, first aid, hi-vis</t>
        </is>
      </c>
      <c r="E33" s="10" t="inlineStr">
        <is>
          <t>Safety kit</t>
        </is>
      </c>
      <c r="F33" s="9" t="inlineStr">
        <is>
          <t>Assorted</t>
        </is>
      </c>
      <c r="G33" s="11" t="n">
        <v>1</v>
      </c>
      <c r="H33" s="12" t="n">
        <v>200</v>
      </c>
      <c r="I33" s="12" t="n">
        <v>600</v>
      </c>
      <c r="J33" s="13">
        <f>G33*H33</f>
        <v/>
      </c>
      <c r="K33" s="13">
        <f>G33*I33</f>
        <v/>
      </c>
      <c r="L33" s="14" t="n"/>
      <c r="M33" s="13">
        <f>G33*L33</f>
        <v/>
      </c>
      <c r="N33" s="15" t="n">
        <v>2</v>
      </c>
      <c r="O33" s="16" t="inlineStr">
        <is>
          <t>Must</t>
        </is>
      </c>
      <c r="P33" s="17" t="n"/>
      <c r="Q33" s="10" t="inlineStr"/>
    </row>
    <row r="34">
      <c r="A34" s="18" t="inlineStr">
        <is>
          <t>TOTAL (est. range)</t>
        </is>
      </c>
      <c r="B34" s="19" t="n"/>
      <c r="C34" s="19" t="n"/>
      <c r="D34" s="19" t="n"/>
      <c r="E34" s="19" t="n"/>
      <c r="F34" s="19" t="n"/>
      <c r="G34" s="19" t="n"/>
      <c r="H34" s="19" t="n"/>
      <c r="I34" s="19" t="n"/>
      <c r="J34" s="20">
        <f>SUM(J2:J33)</f>
        <v/>
      </c>
      <c r="K34" s="20">
        <f>SUM(K2:K33)</f>
        <v/>
      </c>
      <c r="L34" s="19" t="n"/>
      <c r="M34" s="20">
        <f>SUM(M2:M33)</f>
        <v/>
      </c>
      <c r="N34" s="19" t="n"/>
      <c r="O34" s="19" t="n"/>
      <c r="P34" s="19" t="n"/>
      <c r="Q34" s="19" t="n"/>
    </row>
  </sheetData>
  <autoFilter ref="A1:Q33"/>
  <mergeCells count="1">
    <mergeCell ref="A34:I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Cost Summary</t>
        </is>
      </c>
    </row>
    <row r="2">
      <c r="A2" s="2" t="inlineStr">
        <is>
          <t>Rolls up from the BOM sheet. Estimated ranges; Quoted column fills as you procure.</t>
        </is>
      </c>
    </row>
    <row r="4">
      <c r="A4" s="21" t="inlineStr">
        <is>
          <t>Tier / Group</t>
        </is>
      </c>
      <c r="B4" s="21" t="inlineStr">
        <is>
          <t>Est $ Low</t>
        </is>
      </c>
      <c r="C4" s="21" t="inlineStr">
        <is>
          <t>Est $ High</t>
        </is>
      </c>
      <c r="D4" s="21" t="inlineStr">
        <is>
          <t>Quoted $</t>
        </is>
      </c>
    </row>
    <row r="5">
      <c r="A5" s="22" t="inlineStr">
        <is>
          <t>UAV Platform</t>
        </is>
      </c>
      <c r="B5" s="23">
        <f>SUMIFS(BOM!$J$2:$J$33,BOM!$B$2:$B$33,$A5)</f>
        <v/>
      </c>
      <c r="C5" s="23">
        <f>SUMIFS(BOM!$K$2:$K$33,BOM!$B$2:$B$33,$A5)</f>
        <v/>
      </c>
      <c r="D5" s="23">
        <f>SUMIFS(BOM!$M$2:$M$33,BOM!$B$2:$B$33,$A5)</f>
        <v/>
      </c>
    </row>
    <row r="6">
      <c r="A6" s="22" t="inlineStr">
        <is>
          <t>Onboard AI</t>
        </is>
      </c>
      <c r="B6" s="23">
        <f>SUMIFS(BOM!$J$2:$J$33,BOM!$B$2:$B$33,$A6)</f>
        <v/>
      </c>
      <c r="C6" s="23">
        <f>SUMIFS(BOM!$K$2:$K$33,BOM!$B$2:$B$33,$A6)</f>
        <v/>
      </c>
      <c r="D6" s="23">
        <f>SUMIFS(BOM!$M$2:$M$33,BOM!$B$2:$B$33,$A6)</f>
        <v/>
      </c>
    </row>
    <row r="7">
      <c r="A7" s="22" t="inlineStr">
        <is>
          <t>Navigation</t>
        </is>
      </c>
      <c r="B7" s="23">
        <f>SUMIFS(BOM!$J$2:$J$33,BOM!$B$2:$B$33,$A7)</f>
        <v/>
      </c>
      <c r="C7" s="23">
        <f>SUMIFS(BOM!$K$2:$K$33,BOM!$B$2:$B$33,$A7)</f>
        <v/>
      </c>
      <c r="D7" s="23">
        <f>SUMIFS(BOM!$M$2:$M$33,BOM!$B$2:$B$33,$A7)</f>
        <v/>
      </c>
    </row>
    <row r="8">
      <c r="A8" s="22" t="inlineStr">
        <is>
          <t>Datalink</t>
        </is>
      </c>
      <c r="B8" s="23">
        <f>SUMIFS(BOM!$J$2:$J$33,BOM!$B$2:$B$33,$A8)</f>
        <v/>
      </c>
      <c r="C8" s="23">
        <f>SUMIFS(BOM!$K$2:$K$33,BOM!$B$2:$B$33,$A8)</f>
        <v/>
      </c>
      <c r="D8" s="23">
        <f>SUMIFS(BOM!$M$2:$M$33,BOM!$B$2:$B$33,$A8)</f>
        <v/>
      </c>
    </row>
    <row r="9">
      <c r="A9" s="22" t="inlineStr">
        <is>
          <t>Payload</t>
        </is>
      </c>
      <c r="B9" s="23">
        <f>SUMIFS(BOM!$J$2:$J$33,BOM!$B$2:$B$33,$A9)</f>
        <v/>
      </c>
      <c r="C9" s="23">
        <f>SUMIFS(BOM!$K$2:$K$33,BOM!$B$2:$B$33,$A9)</f>
        <v/>
      </c>
      <c r="D9" s="23">
        <f>SUMIFS(BOM!$M$2:$M$33,BOM!$B$2:$B$33,$A9)</f>
        <v/>
      </c>
    </row>
    <row r="10">
      <c r="A10" s="22" t="inlineStr">
        <is>
          <t>Edge Gateway</t>
        </is>
      </c>
      <c r="B10" s="23">
        <f>SUMIFS(BOM!$J$2:$J$33,BOM!$B$2:$B$33,$A10)</f>
        <v/>
      </c>
      <c r="C10" s="23">
        <f>SUMIFS(BOM!$K$2:$K$33,BOM!$B$2:$B$33,$A10)</f>
        <v/>
      </c>
      <c r="D10" s="23">
        <f>SUMIFS(BOM!$M$2:$M$33,BOM!$B$2:$B$33,$A10)</f>
        <v/>
      </c>
    </row>
    <row r="11">
      <c r="A11" s="22" t="inlineStr">
        <is>
          <t>Ground</t>
        </is>
      </c>
      <c r="B11" s="23">
        <f>SUMIFS(BOM!$J$2:$J$33,BOM!$B$2:$B$33,$A11)</f>
        <v/>
      </c>
      <c r="C11" s="23">
        <f>SUMIFS(BOM!$K$2:$K$33,BOM!$B$2:$B$33,$A11)</f>
        <v/>
      </c>
      <c r="D11" s="23">
        <f>SUMIFS(BOM!$M$2:$M$33,BOM!$B$2:$B$33,$A11)</f>
        <v/>
      </c>
    </row>
    <row r="12">
      <c r="A12" s="22" t="inlineStr">
        <is>
          <t>Security</t>
        </is>
      </c>
      <c r="B12" s="23">
        <f>SUMIFS(BOM!$J$2:$J$33,BOM!$B$2:$B$33,$A12)</f>
        <v/>
      </c>
      <c r="C12" s="23">
        <f>SUMIFS(BOM!$K$2:$K$33,BOM!$B$2:$B$33,$A12)</f>
        <v/>
      </c>
      <c r="D12" s="23">
        <f>SUMIFS(BOM!$M$2:$M$33,BOM!$B$2:$B$33,$A12)</f>
        <v/>
      </c>
    </row>
    <row r="13">
      <c r="A13" s="22" t="inlineStr">
        <is>
          <t>Test/Validation</t>
        </is>
      </c>
      <c r="B13" s="23">
        <f>SUMIFS(BOM!$J$2:$J$33,BOM!$B$2:$B$33,$A13)</f>
        <v/>
      </c>
      <c r="C13" s="23">
        <f>SUMIFS(BOM!$K$2:$K$33,BOM!$B$2:$B$33,$A13)</f>
        <v/>
      </c>
      <c r="D13" s="23">
        <f>SUMIFS(BOM!$M$2:$M$33,BOM!$B$2:$B$33,$A13)</f>
        <v/>
      </c>
    </row>
    <row r="14">
      <c r="A14" s="22" t="inlineStr">
        <is>
          <t>Consumables</t>
        </is>
      </c>
      <c r="B14" s="23">
        <f>SUMIFS(BOM!$J$2:$J$33,BOM!$B$2:$B$33,$A14)</f>
        <v/>
      </c>
      <c r="C14" s="23">
        <f>SUMIFS(BOM!$K$2:$K$33,BOM!$B$2:$B$33,$A14)</f>
        <v/>
      </c>
      <c r="D14" s="23">
        <f>SUMIFS(BOM!$M$2:$M$33,BOM!$B$2:$B$33,$A14)</f>
        <v/>
      </c>
    </row>
    <row r="15">
      <c r="A15" s="22" t="inlineStr">
        <is>
          <t>Tools</t>
        </is>
      </c>
      <c r="B15" s="23">
        <f>SUMIFS(BOM!$J$2:$J$33,BOM!$B$2:$B$33,$A15)</f>
        <v/>
      </c>
      <c r="C15" s="23">
        <f>SUMIFS(BOM!$K$2:$K$33,BOM!$B$2:$B$33,$A15)</f>
        <v/>
      </c>
      <c r="D15" s="23">
        <f>SUMIFS(BOM!$M$2:$M$33,BOM!$B$2:$B$33,$A15)</f>
        <v/>
      </c>
    </row>
    <row r="16">
      <c r="A16" s="22" t="inlineStr">
        <is>
          <t>Logistics</t>
        </is>
      </c>
      <c r="B16" s="23">
        <f>SUMIFS(BOM!$J$2:$J$33,BOM!$B$2:$B$33,$A16)</f>
        <v/>
      </c>
      <c r="C16" s="23">
        <f>SUMIFS(BOM!$K$2:$K$33,BOM!$B$2:$B$33,$A16)</f>
        <v/>
      </c>
      <c r="D16" s="23">
        <f>SUMIFS(BOM!$M$2:$M$33,BOM!$B$2:$B$33,$A16)</f>
        <v/>
      </c>
    </row>
    <row r="17">
      <c r="A17" s="22" t="inlineStr">
        <is>
          <t>Safety</t>
        </is>
      </c>
      <c r="B17" s="23">
        <f>SUMIFS(BOM!$J$2:$J$33,BOM!$B$2:$B$33,$A17)</f>
        <v/>
      </c>
      <c r="C17" s="23">
        <f>SUMIFS(BOM!$K$2:$K$33,BOM!$B$2:$B$33,$A17)</f>
        <v/>
      </c>
      <c r="D17" s="23">
        <f>SUMIFS(BOM!$M$2:$M$33,BOM!$B$2:$B$33,$A17)</f>
        <v/>
      </c>
    </row>
    <row r="18">
      <c r="A18" s="24" t="inlineStr">
        <is>
          <t>CAPEX TOTAL</t>
        </is>
      </c>
      <c r="B18" s="20">
        <f>SUM(B5:B17)</f>
        <v/>
      </c>
      <c r="C18" s="20">
        <f>SUM(C5:C17)</f>
        <v/>
      </c>
      <c r="D18" s="20">
        <f>SUM(D5:D17)</f>
        <v/>
      </c>
    </row>
    <row r="21">
      <c r="A21" s="5" t="inlineStr">
        <is>
          <t>By priority</t>
        </is>
      </c>
    </row>
    <row r="22">
      <c r="A22" s="21" t="inlineStr">
        <is>
          <t>Priority</t>
        </is>
      </c>
      <c r="B22" s="21" t="inlineStr">
        <is>
          <t>Est $ Low</t>
        </is>
      </c>
      <c r="C22" s="21" t="inlineStr">
        <is>
          <t>Est $ High</t>
        </is>
      </c>
      <c r="D22" s="21" t="inlineStr">
        <is>
          <t>Quoted $</t>
        </is>
      </c>
    </row>
    <row r="23">
      <c r="A23" s="22" t="inlineStr">
        <is>
          <t>Must</t>
        </is>
      </c>
      <c r="B23" s="23">
        <f>SUMIFS(BOM!$J$2:$J$33,BOM!$O$2:$O$33,$A23)</f>
        <v/>
      </c>
      <c r="C23" s="23">
        <f>SUMIFS(BOM!$K$2:$K$33,BOM!$O$2:$O$33,$A23)</f>
        <v/>
      </c>
      <c r="D23" s="23">
        <f>SUMIFS(BOM!$M$2:$M$33,BOM!$O$2:$O$33,$A23)</f>
        <v/>
      </c>
    </row>
    <row r="24">
      <c r="A24" s="22" t="inlineStr">
        <is>
          <t>Should</t>
        </is>
      </c>
      <c r="B24" s="23">
        <f>SUMIFS(BOM!$J$2:$J$33,BOM!$O$2:$O$33,$A24)</f>
        <v/>
      </c>
      <c r="C24" s="23">
        <f>SUMIFS(BOM!$K$2:$K$33,BOM!$O$2:$O$33,$A24)</f>
        <v/>
      </c>
      <c r="D24" s="23">
        <f>SUMIFS(BOM!$M$2:$M$33,BOM!$O$2:$O$33,$A24)</f>
        <v/>
      </c>
    </row>
    <row r="25">
      <c r="A25" s="22" t="inlineStr">
        <is>
          <t>Optional</t>
        </is>
      </c>
      <c r="B25" s="23">
        <f>SUMIFS(BOM!$J$2:$J$33,BOM!$O$2:$O$33,$A25)</f>
        <v/>
      </c>
      <c r="C25" s="23">
        <f>SUMIFS(BOM!$K$2:$K$33,BOM!$O$2:$O$33,$A25)</f>
        <v/>
      </c>
      <c r="D25" s="23">
        <f>SUMIFS(BOM!$M$2:$M$33,BOM!$O$2:$O$33,$A25)</f>
        <v/>
      </c>
    </row>
    <row r="27">
      <c r="A27" s="2" t="inlineStr">
        <is>
          <t>Lean first run = "Must" only. Full assurance = Must + Should. Optional = crop/field-specific add-ons.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Recurring Costs (OPEX)</t>
        </is>
      </c>
    </row>
    <row r="2">
      <c r="A2" s="2" t="inlineStr">
        <is>
          <t>Monthly services and consumable-rate items. Fill blue estimates for your setup.</t>
        </is>
      </c>
    </row>
    <row r="4">
      <c r="A4" s="21" t="inlineStr">
        <is>
          <t>Item</t>
        </is>
      </c>
      <c r="B4" s="21" t="inlineStr">
        <is>
          <t>Purpose</t>
        </is>
      </c>
      <c r="C4" s="21" t="inlineStr">
        <is>
          <t>$ / month (Low)</t>
        </is>
      </c>
      <c r="D4" s="21" t="inlineStr">
        <is>
          <t>$ / month (High)</t>
        </is>
      </c>
      <c r="E4" s="21" t="inlineStr">
        <is>
          <t>$ / year (Low)</t>
        </is>
      </c>
      <c r="F4" s="21" t="inlineStr">
        <is>
          <t>$ / year (High)</t>
        </is>
      </c>
    </row>
    <row r="5">
      <c r="A5" s="22" t="inlineStr">
        <is>
          <t>Cloud GPU (FedGTD + PQC signing)</t>
        </is>
      </c>
      <c r="B5" s="22" t="inlineStr">
        <is>
          <t>Tier-3 aggregation &amp; model signing</t>
        </is>
      </c>
      <c r="C5" s="25" t="n">
        <v>300</v>
      </c>
      <c r="D5" s="25" t="n">
        <v>1500</v>
      </c>
      <c r="E5" s="23">
        <f>C5*12</f>
        <v/>
      </c>
      <c r="F5" s="23">
        <f>D5*12</f>
        <v/>
      </c>
    </row>
    <row r="6">
      <c r="A6" s="22" t="inlineStr">
        <is>
          <t>NTRIP correction subscription</t>
        </is>
      </c>
      <c r="B6" s="22" t="inlineStr">
        <is>
          <t>RTK corrections (if no own base)</t>
        </is>
      </c>
      <c r="C6" s="25" t="n">
        <v>20</v>
      </c>
      <c r="D6" s="25" t="n">
        <v>100</v>
      </c>
      <c r="E6" s="23">
        <f>C6*12</f>
        <v/>
      </c>
      <c r="F6" s="23">
        <f>D6*12</f>
        <v/>
      </c>
    </row>
    <row r="7">
      <c r="A7" s="22" t="inlineStr">
        <is>
          <t>Connectivity SIM / data plan</t>
        </is>
      </c>
      <c r="B7" s="22" t="inlineStr">
        <is>
          <t>BVLOS 4G/5G backhaul</t>
        </is>
      </c>
      <c r="C7" s="25" t="n">
        <v>30</v>
      </c>
      <c r="D7" s="25" t="n">
        <v>150</v>
      </c>
      <c r="E7" s="23">
        <f>C7*12</f>
        <v/>
      </c>
      <c r="F7" s="23">
        <f>D7*12</f>
        <v/>
      </c>
    </row>
    <row r="8">
      <c r="A8" s="22" t="inlineStr">
        <is>
          <t>Liability / hull insurance</t>
        </is>
      </c>
      <c r="B8" s="22" t="inlineStr">
        <is>
          <t>Ops insurance</t>
        </is>
      </c>
      <c r="C8" s="25" t="n">
        <v>100</v>
      </c>
      <c r="D8" s="25" t="n">
        <v>400</v>
      </c>
      <c r="E8" s="23">
        <f>C8*12</f>
        <v/>
      </c>
      <c r="F8" s="23">
        <f>D8*12</f>
        <v/>
      </c>
    </row>
    <row r="9">
      <c r="A9" s="22" t="inlineStr">
        <is>
          <t>Software maintenance / updates</t>
        </is>
      </c>
      <c r="B9" s="22" t="inlineStr">
        <is>
          <t>Model retraining, container upkeep</t>
        </is>
      </c>
      <c r="C9" s="25" t="n">
        <v>100</v>
      </c>
      <c r="D9" s="25" t="n">
        <v>500</v>
      </c>
      <c r="E9" s="23">
        <f>C9*12</f>
        <v/>
      </c>
      <c r="F9" s="23">
        <f>D9*12</f>
        <v/>
      </c>
    </row>
    <row r="10">
      <c r="A10" s="22" t="inlineStr">
        <is>
          <t>GNSS simulator rental (test window)</t>
        </is>
      </c>
      <c r="B10" s="22" t="inlineStr">
        <is>
          <t>EW validation, per month when testing</t>
        </is>
      </c>
      <c r="C10" s="25" t="n">
        <v>0</v>
      </c>
      <c r="D10" s="25" t="n">
        <v>3000</v>
      </c>
      <c r="E10" s="23">
        <f>C10*12</f>
        <v/>
      </c>
      <c r="F10" s="23">
        <f>D10*12</f>
        <v/>
      </c>
    </row>
    <row r="11">
      <c r="A11" s="18" t="inlineStr">
        <is>
          <t>TOTAL OPEX</t>
        </is>
      </c>
      <c r="B11" s="19" t="n"/>
      <c r="C11" s="20">
        <f>SUM(C5:C10)</f>
        <v/>
      </c>
      <c r="D11" s="20">
        <f>SUM(D5:D10)</f>
        <v/>
      </c>
      <c r="E11" s="20">
        <f>SUM(E5:E10)</f>
        <v/>
      </c>
      <c r="F11" s="20">
        <f>SUM(F5:F10)</f>
        <v/>
      </c>
    </row>
  </sheetData>
  <mergeCells count="1"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2026-07-24T03:36:48Z</dcterms:created>
  <dcterms:modified xmlns:dcterms="http://purl.org/dc/terms/" xmlns:xsi="http://www.w3.org/2001/XMLSchema-instance" xsi:type="dcterms:W3CDTF">2026-07-24T03:36:48Z</dcterms:modified>
</cp:coreProperties>
</file>